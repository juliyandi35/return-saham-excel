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Return Saham DL Jam 5\"/>
    </mc:Choice>
  </mc:AlternateContent>
  <xr:revisionPtr revIDLastSave="0" documentId="8_{A607DDC1-0AC9-41A3-B49D-A607D8AEA65F}" xr6:coauthVersionLast="47" xr6:coauthVersionMax="47" xr10:uidLastSave="{00000000-0000-0000-0000-000000000000}"/>
  <bookViews>
    <workbookView xWindow="-110" yWindow="-110" windowWidth="19420" windowHeight="10300" xr2:uid="{CB2C7E0B-6DC9-497E-9D3F-12A47465E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2" i="1"/>
  <c r="K4" i="1"/>
  <c r="I4" i="1"/>
  <c r="K2" i="1"/>
  <c r="I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G11" i="1"/>
  <c r="G12" i="1"/>
  <c r="G13" i="1"/>
  <c r="E4" i="1"/>
  <c r="E5" i="1"/>
  <c r="E6" i="1"/>
  <c r="E7" i="1"/>
  <c r="E8" i="1"/>
  <c r="E9" i="1"/>
  <c r="E10" i="1"/>
  <c r="E11" i="1"/>
  <c r="E12" i="1"/>
  <c r="E13" i="1"/>
  <c r="E3" i="1"/>
</calcChain>
</file>

<file path=xl/sharedStrings.xml><?xml version="1.0" encoding="utf-8"?>
<sst xmlns="http://schemas.openxmlformats.org/spreadsheetml/2006/main" count="23" uniqueCount="23">
  <si>
    <t>Bulan</t>
  </si>
  <si>
    <t>AGRO</t>
  </si>
  <si>
    <t>ARTA</t>
  </si>
  <si>
    <t>R AGRO</t>
  </si>
  <si>
    <t>R Gojek/Tokopedia</t>
  </si>
  <si>
    <t>R ARTA</t>
  </si>
  <si>
    <t>ER AGRO</t>
  </si>
  <si>
    <t>ER Gojek</t>
  </si>
  <si>
    <t>ER ARTA</t>
  </si>
  <si>
    <t>STDEV AGRO</t>
  </si>
  <si>
    <t>STDEV Gojek</t>
  </si>
  <si>
    <t>STDEV ARTA</t>
  </si>
  <si>
    <t>Keterangan</t>
  </si>
  <si>
    <t>R</t>
  </si>
  <si>
    <t>Return</t>
  </si>
  <si>
    <t>ER</t>
  </si>
  <si>
    <t>Expected Return</t>
  </si>
  <si>
    <t>STDEV</t>
  </si>
  <si>
    <t>Standar Deviasi/Resiko</t>
  </si>
  <si>
    <t>Noted</t>
  </si>
  <si>
    <t>Data AGRO dan ARTA tersedia dari Januari sampai Desember</t>
  </si>
  <si>
    <t>Gojek</t>
  </si>
  <si>
    <t>Data Gojek hanya tersedia dari April sampai 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</si>
</sst>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0246-08B2-41D5-BD4E-2D0B4AD5A800}">
  <dimension ref="A1:N13"/>
  <sheetViews>
    <sheetView tabSelected="1" workbookViewId="0">
      <selection activeCell="L12" sqref="L1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  <c r="M1" t="s">
        <v>12</v>
      </c>
    </row>
    <row r="2" spans="1:14" x14ac:dyDescent="0.35">
      <c r="A2">
        <v>12</v>
      </c>
      <c r="B2">
        <v>450.36363636363637</v>
      </c>
      <c r="C2">
        <v>99.090909090909093</v>
      </c>
      <c r="D2">
        <v>2.3959090909090905</v>
      </c>
      <c r="I2" s="1">
        <f>AVERAGE(E3:E13)</f>
        <v>-8.9132891579431967E-2</v>
      </c>
      <c r="J2" s="1">
        <f>AVERAGE(F3:F10)</f>
        <v>0.21032368332676921</v>
      </c>
      <c r="K2" s="1">
        <f>AVERAGE(G3:G13)</f>
        <v>-1.2490792312717032E-2</v>
      </c>
      <c r="M2" t="s">
        <v>13</v>
      </c>
      <c r="N2" t="s">
        <v>14</v>
      </c>
    </row>
    <row r="3" spans="1:14" x14ac:dyDescent="0.35">
      <c r="A3">
        <v>11</v>
      </c>
      <c r="B3">
        <v>522.42857142857144</v>
      </c>
      <c r="C3">
        <v>194.95454545454547</v>
      </c>
      <c r="D3">
        <v>2.214375</v>
      </c>
      <c r="E3">
        <f>(B3-B2)/B2</f>
        <v>0.16001499509775652</v>
      </c>
      <c r="F3">
        <f t="shared" ref="F3:G13" si="0">(C3-C2)/C2</f>
        <v>0.96743119266055055</v>
      </c>
      <c r="G3">
        <f t="shared" si="0"/>
        <v>-7.576835515082514E-2</v>
      </c>
      <c r="I3" t="s">
        <v>9</v>
      </c>
      <c r="J3" t="s">
        <v>10</v>
      </c>
      <c r="K3" t="s">
        <v>11</v>
      </c>
      <c r="M3" t="s">
        <v>15</v>
      </c>
      <c r="N3" t="s">
        <v>16</v>
      </c>
    </row>
    <row r="4" spans="1:14" x14ac:dyDescent="0.35">
      <c r="A4">
        <v>10</v>
      </c>
      <c r="B4">
        <v>568</v>
      </c>
      <c r="C4">
        <v>213.76190476190476</v>
      </c>
      <c r="D4">
        <v>2.4010526315789473</v>
      </c>
      <c r="E4">
        <f t="shared" ref="E4:E13" si="1">(B4-B3)/B3</f>
        <v>8.7229969920699993E-2</v>
      </c>
      <c r="F4">
        <f t="shared" si="0"/>
        <v>9.6470483740243501E-2</v>
      </c>
      <c r="G4">
        <f t="shared" si="0"/>
        <v>8.43026278651752E-2</v>
      </c>
      <c r="I4" s="1">
        <f>STDEV(E3:E13)</f>
        <v>0.42608495435199639</v>
      </c>
      <c r="J4" s="1">
        <f>STDEV(F3:F10)</f>
        <v>0.35625166276676928</v>
      </c>
      <c r="K4" s="1">
        <f t="shared" ref="J4:K4" si="2">STDEV(G3:G13)</f>
        <v>9.0572934047117373E-2</v>
      </c>
      <c r="M4" t="s">
        <v>17</v>
      </c>
      <c r="N4" t="s">
        <v>18</v>
      </c>
    </row>
    <row r="5" spans="1:14" x14ac:dyDescent="0.35">
      <c r="A5">
        <v>9</v>
      </c>
      <c r="B5">
        <v>648.57142857142856</v>
      </c>
      <c r="C5">
        <v>267.72727272727275</v>
      </c>
      <c r="D5">
        <v>2.4736363636363632</v>
      </c>
      <c r="E5">
        <f t="shared" si="1"/>
        <v>0.14185110663983899</v>
      </c>
      <c r="F5">
        <f t="shared" si="0"/>
        <v>0.25245549727617017</v>
      </c>
      <c r="G5">
        <f t="shared" si="0"/>
        <v>3.0229962934916733E-2</v>
      </c>
    </row>
    <row r="6" spans="1:14" x14ac:dyDescent="0.35">
      <c r="A6">
        <v>8</v>
      </c>
      <c r="B6">
        <v>784.52380952380952</v>
      </c>
      <c r="C6">
        <v>308</v>
      </c>
      <c r="D6">
        <v>2.489523809523809</v>
      </c>
      <c r="E6">
        <f t="shared" si="1"/>
        <v>0.20961820851688695</v>
      </c>
      <c r="F6">
        <f t="shared" si="0"/>
        <v>0.1504244482173174</v>
      </c>
      <c r="G6">
        <f t="shared" si="0"/>
        <v>6.4227087380339673E-3</v>
      </c>
    </row>
    <row r="7" spans="1:14" x14ac:dyDescent="0.35">
      <c r="A7">
        <v>7</v>
      </c>
      <c r="B7">
        <v>716.25</v>
      </c>
      <c r="C7">
        <v>319.52380952380952</v>
      </c>
      <c r="D7">
        <v>2.3187499999999996</v>
      </c>
      <c r="E7">
        <f t="shared" si="1"/>
        <v>-8.7025796661608493E-2</v>
      </c>
      <c r="F7">
        <f t="shared" si="0"/>
        <v>3.7414965986394537E-2</v>
      </c>
      <c r="G7">
        <f t="shared" si="0"/>
        <v>-6.8596977811782672E-2</v>
      </c>
      <c r="I7" t="s">
        <v>19</v>
      </c>
    </row>
    <row r="8" spans="1:14" x14ac:dyDescent="0.35">
      <c r="A8">
        <v>6</v>
      </c>
      <c r="B8">
        <v>820.23809523809518</v>
      </c>
      <c r="C8">
        <v>378.57142857142856</v>
      </c>
      <c r="D8">
        <v>1.7680000000000002</v>
      </c>
      <c r="E8">
        <f t="shared" si="1"/>
        <v>0.14518407712124981</v>
      </c>
      <c r="F8">
        <f t="shared" si="0"/>
        <v>0.1847988077496274</v>
      </c>
      <c r="G8">
        <f t="shared" si="0"/>
        <v>-0.23752021563342296</v>
      </c>
      <c r="I8" t="s">
        <v>20</v>
      </c>
    </row>
    <row r="9" spans="1:14" x14ac:dyDescent="0.35">
      <c r="A9">
        <v>5</v>
      </c>
      <c r="B9">
        <v>930.35714285714289</v>
      </c>
      <c r="C9">
        <v>265.33333333333331</v>
      </c>
      <c r="D9">
        <v>1.8243333333333334</v>
      </c>
      <c r="E9">
        <f t="shared" si="1"/>
        <v>0.13425253991291738</v>
      </c>
      <c r="F9">
        <f t="shared" si="0"/>
        <v>-0.29911949685534595</v>
      </c>
      <c r="G9">
        <f t="shared" si="0"/>
        <v>3.1862745098039096E-2</v>
      </c>
      <c r="I9" t="s">
        <v>22</v>
      </c>
    </row>
    <row r="10" spans="1:14" x14ac:dyDescent="0.35">
      <c r="A10">
        <v>4</v>
      </c>
      <c r="B10">
        <v>110.67861111111111</v>
      </c>
      <c r="C10">
        <v>343</v>
      </c>
      <c r="D10">
        <v>1.8135294117647058</v>
      </c>
      <c r="E10">
        <f t="shared" si="1"/>
        <v>-0.88103642567711671</v>
      </c>
      <c r="F10">
        <f t="shared" si="0"/>
        <v>0.29271356783919605</v>
      </c>
      <c r="G10">
        <f t="shared" si="0"/>
        <v>-5.9221203555422227E-3</v>
      </c>
    </row>
    <row r="11" spans="1:14" x14ac:dyDescent="0.35">
      <c r="A11">
        <v>3</v>
      </c>
      <c r="B11">
        <v>1.3000000000000003</v>
      </c>
      <c r="C11">
        <v>0</v>
      </c>
      <c r="D11">
        <v>1.7805555555555554</v>
      </c>
      <c r="E11">
        <f t="shared" si="1"/>
        <v>-0.98825427978405944</v>
      </c>
      <c r="G11">
        <f t="shared" si="0"/>
        <v>-1.8182145817565897E-2</v>
      </c>
    </row>
    <row r="12" spans="1:14" x14ac:dyDescent="0.35">
      <c r="A12">
        <v>2</v>
      </c>
      <c r="B12">
        <v>1.3963888888888887</v>
      </c>
      <c r="C12">
        <v>0</v>
      </c>
      <c r="D12">
        <v>1.8492857142857146</v>
      </c>
      <c r="E12">
        <f t="shared" si="1"/>
        <v>7.4145299145298771E-2</v>
      </c>
      <c r="G12">
        <f t="shared" si="0"/>
        <v>3.8600401158903765E-2</v>
      </c>
    </row>
    <row r="13" spans="1:14" x14ac:dyDescent="0.35">
      <c r="A13">
        <v>1</v>
      </c>
      <c r="B13">
        <v>1.429285714285714</v>
      </c>
      <c r="C13">
        <v>0</v>
      </c>
      <c r="D13">
        <v>1.9919999999999998</v>
      </c>
      <c r="E13">
        <f t="shared" si="1"/>
        <v>2.3558498394384592E-2</v>
      </c>
      <c r="G13">
        <f t="shared" si="0"/>
        <v>7.7172653534182747E-2</v>
      </c>
    </row>
  </sheetData>
  <pageMargins left="0.7" right="0.7" top="0.75" bottom="0.75" header="0.3" footer="0.3"/>
  <ignoredErrors>
    <ignoredError sqref="J4 J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2023-03-20T09:13:12Z</dcterms:created>
  <dcterms:modified xsi:type="dcterms:W3CDTF">2023-03-20T09:30:20Z</dcterms:modified>
</cp:coreProperties>
</file>